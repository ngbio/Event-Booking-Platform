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510e91bb945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Checklist" sheetId="1" r:id="R58115eec790a49bb"/>
    <x:sheet xmlns:r="http://schemas.openxmlformats.org/officeDocument/2006/relationships" name="Dashboard" sheetId="2" r:id="R0470f9e456dd42f2"/>
    <x:sheet xmlns:r="http://schemas.openxmlformats.org/officeDocument/2006/relationships" name="Options" sheetId="3" r:id="Rd9af3587ee9b4c34"/>
    <x:sheet xmlns:r="http://schemas.openxmlformats.org/officeDocument/2006/relationships" name="Implementation Notes" sheetId="4" r:id="R24667671832047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e579b4b07c49de" /><Relationship Type="http://schemas.openxmlformats.org/officeDocument/2006/relationships/theme" Target="/xl/theme/theme1.xml" Id="R77a8a795c56b4810" /><Relationship Type="http://schemas.openxmlformats.org/officeDocument/2006/relationships/sharedStrings" Target="/xl/sharedStrings.xml" Id="R01b00648982d45a5" /><Relationship Type="http://schemas.openxmlformats.org/officeDocument/2006/relationships/worksheet" Target="/xl/worksheets/sheet1.xml" Id="R58115eec790a49bb" /><Relationship Type="http://schemas.openxmlformats.org/officeDocument/2006/relationships/worksheet" Target="/xl/worksheets/sheet2.xml" Id="R0470f9e456dd42f2" /><Relationship Type="http://schemas.openxmlformats.org/officeDocument/2006/relationships/worksheet" Target="/xl/worksheets/sheet3.xml" Id="Rd9af3587ee9b4c34" /><Relationship Type="http://schemas.openxmlformats.org/officeDocument/2006/relationships/worksheet" Target="/xl/worksheets/sheet4.xml" Id="R2466767183204747" /></Relationships>
</file>

<file path=xl/tables/table1.xml><?xml version="1.0" encoding="utf-8"?>
<x:table xmlns:x="http://schemas.openxmlformats.org/spreadsheetml/2006/main" id="1" name="ApiChecklistTable" displayName="ApiChecklistTable" ref="A1:O50" headerRowCount="1">
  <x:tableColumns count="15">
    <x:tableColumn id="1" name="STT"/>
    <x:tableColumn id="2" name="Nhóm API"/>
    <x:tableColumn id="3" name="Method"/>
    <x:tableColumn id="4" name="Endpoint / Route"/>
    <x:tableColumn id="5" name="Role"/>
    <x:tableColumn id="6" name="Chức năng"/>
    <x:tableColumn id="7" name="Ghi chú từ tài liệu"/>
    <x:tableColumn id="8" name="Trạng thái"/>
    <x:tableColumn id="9" name="Code xong"/>
    <x:tableColumn id="10" name="Test Postman"/>
    <x:tableColumn id="11" name="Test Frontend"/>
    <x:tableColumn id="12" name="Người làm"/>
    <x:tableColumn id="13" name="Ngày bắt đầu"/>
    <x:tableColumn id="14" name="Ngày xong"/>
    <x:tableColumn id="15" name="Ghi chú cập nhật"/>
  </x:tableColumns>
  <x:tableStyleInfo name="TableStyleMedium2" showRowStripes="1"/>
</x:table>
</file>

<file path=xl/tables/table2.xml><?xml version="1.0" encoding="utf-8"?>
<x:table xmlns:x="http://schemas.openxmlformats.org/spreadsheetml/2006/main" id="2" name="ApiGroupSummaryTable" displayName="ApiGroupSummaryTable" ref="A11:E19" headerRowCount="1">
  <x:tableColumns count="5">
    <x:tableColumn id="1" name="Nhóm API"/>
    <x:tableColumn id="2" name="Tổng"/>
    <x:tableColumn id="3" name="Hoàn thành"/>
    <x:tableColumn id="4" name="Đang làm"/>
    <x:tableColumn id="5" name="Chưa là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c17085286346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49efa63b6f425c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8" hidden="0" customWidth="1"/>
    <x:col min="3" max="3" width="10" hidden="0" customWidth="1"/>
    <x:col min="4" max="4" width="42" hidden="0" customWidth="1"/>
    <x:col min="5" max="5" width="18" hidden="0" customWidth="1"/>
    <x:col min="6" max="6" width="38" hidden="0" customWidth="1"/>
    <x:col min="7" max="7" width="30" hidden="0" customWidth="1"/>
    <x:col min="8" max="8" width="16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14" hidden="0" customWidth="1"/>
    <x:col min="14" max="14" width="14" hidden="0" customWidth="1"/>
    <x:col min="15" max="15" width="34" hidden="0" customWidth="1"/>
  </x:cols>
  <x:sheetData>
    <x:row r="1">
      <x:c r="A1" s="10" t="str">
        <x:v>STT</x:v>
      </x:c>
      <x:c r="B1" s="10" t="str">
        <x:v>Nhóm API</x:v>
      </x:c>
      <x:c r="C1" s="10" t="str">
        <x:v>Method</x:v>
      </x:c>
      <x:c r="D1" s="10" t="str">
        <x:v>Endpoint / Route</x:v>
      </x:c>
      <x:c r="E1" s="10" t="str">
        <x:v>Role</x:v>
      </x:c>
      <x:c r="F1" s="10" t="str">
        <x:v>Chức năng</x:v>
      </x:c>
      <x:c r="G1" s="10" t="str">
        <x:v>Ghi chú từ tài liệu</x:v>
      </x:c>
      <x:c r="H1" s="10" t="str">
        <x:v>Trạng thái</x:v>
      </x:c>
      <x:c r="I1" s="10" t="str">
        <x:v>Code xong</x:v>
      </x:c>
      <x:c r="J1" s="10" t="str">
        <x:v>Test Postman</x:v>
      </x:c>
      <x:c r="K1" s="10" t="str">
        <x:v>Test Frontend</x:v>
      </x:c>
      <x:c r="L1" s="10" t="str">
        <x:v>Người làm</x:v>
      </x:c>
      <x:c r="M1" s="10" t="str">
        <x:v>Ngày bắt đầu</x:v>
      </x:c>
      <x:c r="N1" s="10" t="str">
        <x:v>Ngày xong</x:v>
      </x:c>
      <x:c r="O1" s="10" t="str">
        <x:v>Ghi chú cập nhật</x:v>
      </x:c>
    </x:row>
    <x:row r="2">
      <x:c r="A2" s="14" t="n">
        <x:v>1</x:v>
      </x:c>
      <x:c r="B2" s="14" t="str">
        <x:v>Auth và user API</x:v>
      </x:c>
      <x:c r="C2" s="14" t="str">
        <x:v>POST</x:v>
      </x:c>
      <x:c r="D2" s="14" t="str">
        <x:v>/api/users/login</x:v>
      </x:c>
      <x:c r="E2" s="14" t="str">
        <x:v>Public</x:v>
      </x:c>
      <x:c r="F2" s="14" t="str">
        <x:v>Đăng nhập, trả JWT</x:v>
      </x:c>
      <x:c r="G2" s="14" t="str"/>
      <x:c r="H2" s="14" t="str">
        <x:v>Chưa làm</x:v>
      </x:c>
      <x:c r="I2" s="14" t="str">
        <x:v>Chưa</x:v>
      </x:c>
      <x:c r="J2" s="14" t="str">
        <x:v>Chưa</x:v>
      </x:c>
      <x:c r="K2" s="14" t="str">
        <x:v>Chưa</x:v>
      </x:c>
      <x:c r="L2" s="14" t="str"/>
      <x:c r="M2" s="32" t="str"/>
      <x:c r="N2" s="32" t="str"/>
      <x:c r="O2" s="14" t="str"/>
    </x:row>
    <x:row r="3">
      <x:c r="A3" s="14" t="n">
        <x:v>2</x:v>
      </x:c>
      <x:c r="B3" s="14" t="str">
        <x:v>Auth và user API</x:v>
      </x:c>
      <x:c r="C3" s="14" t="str">
        <x:v>POST</x:v>
      </x:c>
      <x:c r="D3" s="14" t="str">
        <x:v>/api/users/register/attendee</x:v>
      </x:c>
      <x:c r="E3" s="14" t="str">
        <x:v>Public</x:v>
      </x:c>
      <x:c r="F3" s="14" t="str">
        <x:v>Đăng ký khách tham dự</x:v>
      </x:c>
      <x:c r="G3" s="14" t="str"/>
      <x:c r="H3" s="14" t="str">
        <x:v>Chưa làm</x:v>
      </x:c>
      <x:c r="I3" s="14" t="str">
        <x:v>Chưa</x:v>
      </x:c>
      <x:c r="J3" s="14" t="str">
        <x:v>Chưa</x:v>
      </x:c>
      <x:c r="K3" s="14" t="str">
        <x:v>Chưa</x:v>
      </x:c>
      <x:c r="L3" s="14" t="str"/>
      <x:c r="M3" s="32" t="str"/>
      <x:c r="N3" s="32" t="str"/>
      <x:c r="O3" s="14" t="str"/>
    </x:row>
    <x:row r="4">
      <x:c r="A4" s="14" t="n">
        <x:v>3</x:v>
      </x:c>
      <x:c r="B4" s="14" t="str">
        <x:v>Auth và user API</x:v>
      </x:c>
      <x:c r="C4" s="14" t="str">
        <x:v>POST</x:v>
      </x:c>
      <x:c r="D4" s="14" t="str">
        <x:v>/api/users/register/organizer</x:v>
      </x:c>
      <x:c r="E4" s="14" t="str">
        <x:v>Public</x:v>
      </x:c>
      <x:c r="F4" s="14" t="str">
        <x:v>Đăng ký organizer, status pending</x:v>
      </x:c>
      <x:c r="G4" s="14" t="str"/>
      <x:c r="H4" s="14" t="str">
        <x:v>Chưa làm</x:v>
      </x:c>
      <x:c r="I4" s="14" t="str">
        <x:v>Chưa</x:v>
      </x:c>
      <x:c r="J4" s="14" t="str">
        <x:v>Chưa</x:v>
      </x:c>
      <x:c r="K4" s="14" t="str">
        <x:v>Chưa</x:v>
      </x:c>
      <x:c r="L4" s="14" t="str"/>
      <x:c r="M4" s="32" t="str"/>
      <x:c r="N4" s="32" t="str"/>
      <x:c r="O4" s="14" t="str"/>
    </x:row>
    <x:row r="5">
      <x:c r="A5" s="14" t="n">
        <x:v>4</x:v>
      </x:c>
      <x:c r="B5" s="14" t="str">
        <x:v>Auth và user API</x:v>
      </x:c>
      <x:c r="C5" s="14" t="str">
        <x:v>GET</x:v>
      </x:c>
      <x:c r="D5" s="14" t="str">
        <x:v>/api/users/secure/profile</x:v>
      </x:c>
      <x:c r="E5" s="14" t="str">
        <x:v>Authenticated</x:v>
      </x:c>
      <x:c r="F5" s="14" t="str">
        <x:v>Xem profile</x:v>
      </x:c>
      <x:c r="G5" s="14" t="str"/>
      <x:c r="H5" s="14" t="str">
        <x:v>Chưa làm</x:v>
      </x:c>
      <x:c r="I5" s="14" t="str">
        <x:v>Chưa</x:v>
      </x:c>
      <x:c r="J5" s="14" t="str">
        <x:v>Chưa</x:v>
      </x:c>
      <x:c r="K5" s="14" t="str">
        <x:v>Chưa</x:v>
      </x:c>
      <x:c r="L5" s="14" t="str"/>
      <x:c r="M5" s="32" t="str"/>
      <x:c r="N5" s="32" t="str"/>
      <x:c r="O5" s="14" t="str"/>
    </x:row>
    <x:row r="6">
      <x:c r="A6" s="14" t="n">
        <x:v>5</x:v>
      </x:c>
      <x:c r="B6" s="14" t="str">
        <x:v>Auth và user API</x:v>
      </x:c>
      <x:c r="C6" s="14" t="str">
        <x:v>PUT</x:v>
      </x:c>
      <x:c r="D6" s="14" t="str">
        <x:v>/api/users/secure/profile</x:v>
      </x:c>
      <x:c r="E6" s="14" t="str">
        <x:v>Authenticated</x:v>
      </x:c>
      <x:c r="F6" s="14" t="str">
        <x:v>Cập nhật profile/avatar</x:v>
      </x:c>
      <x:c r="G6" s="14" t="str"/>
      <x:c r="H6" s="14" t="str">
        <x:v>Chưa làm</x:v>
      </x:c>
      <x:c r="I6" s="14" t="str">
        <x:v>Chưa</x:v>
      </x:c>
      <x:c r="J6" s="14" t="str">
        <x:v>Chưa</x:v>
      </x:c>
      <x:c r="K6" s="14" t="str">
        <x:v>Chưa</x:v>
      </x:c>
      <x:c r="L6" s="14" t="str"/>
      <x:c r="M6" s="32" t="str"/>
      <x:c r="N6" s="32" t="str"/>
      <x:c r="O6" s="14" t="str"/>
    </x:row>
    <x:row r="7">
      <x:c r="A7" s="14" t="n">
        <x:v>6</x:v>
      </x:c>
      <x:c r="B7" s="14" t="str">
        <x:v>Auth và user API</x:v>
      </x:c>
      <x:c r="C7" s="14" t="str">
        <x:v>POST</x:v>
      </x:c>
      <x:c r="D7" s="14" t="str">
        <x:v>/api/users/logout</x:v>
      </x:c>
      <x:c r="E7" s="14" t="str">
        <x:v>Authenticated</x:v>
      </x:c>
      <x:c r="F7" s="14" t="str">
        <x:v>Optional, frontend xóa token là đủ</x:v>
      </x:c>
      <x:c r="G7" s="14" t="str"/>
      <x:c r="H7" s="14" t="str">
        <x:v>Chưa làm</x:v>
      </x:c>
      <x:c r="I7" s="14" t="str">
        <x:v>Chưa</x:v>
      </x:c>
      <x:c r="J7" s="14" t="str">
        <x:v>Chưa</x:v>
      </x:c>
      <x:c r="K7" s="14" t="str">
        <x:v>Chưa</x:v>
      </x:c>
      <x:c r="L7" s="14" t="str"/>
      <x:c r="M7" s="32" t="str"/>
      <x:c r="N7" s="32" t="str"/>
      <x:c r="O7" s="14" t="str"/>
    </x:row>
    <x:row r="8">
      <x:c r="A8" s="14" t="n">
        <x:v>7</x:v>
      </x:c>
      <x:c r="B8" s="14" t="str">
        <x:v>Public event API</x:v>
      </x:c>
      <x:c r="C8" s="14" t="str">
        <x:v>GET</x:v>
      </x:c>
      <x:c r="D8" s="14" t="str">
        <x:v>/api/events</x:v>
      </x:c>
      <x:c r="E8" s="14" t="str">
        <x:v>Public</x:v>
      </x:c>
      <x:c r="F8" s="14" t="str">
        <x:v>Danh sách event published, search/filter/sort/page</x:v>
      </x:c>
      <x:c r="G8" s="14" t="str"/>
      <x:c r="H8" s="14" t="str">
        <x:v>Chưa làm</x:v>
      </x:c>
      <x:c r="I8" s="14" t="str">
        <x:v>Chưa</x:v>
      </x:c>
      <x:c r="J8" s="14" t="str">
        <x:v>Chưa</x:v>
      </x:c>
      <x:c r="K8" s="14" t="str">
        <x:v>Chưa</x:v>
      </x:c>
      <x:c r="L8" s="14" t="str"/>
      <x:c r="M8" s="32" t="str"/>
      <x:c r="N8" s="32" t="str"/>
      <x:c r="O8" s="14" t="str"/>
    </x:row>
    <x:row r="9">
      <x:c r="A9" s="14" t="n">
        <x:v>8</x:v>
      </x:c>
      <x:c r="B9" s="14" t="str">
        <x:v>Public event API</x:v>
      </x:c>
      <x:c r="C9" s="14" t="str">
        <x:v>GET</x:v>
      </x:c>
      <x:c r="D9" s="14" t="str">
        <x:v>/api/events/{id}</x:v>
      </x:c>
      <x:c r="E9" s="14" t="str">
        <x:v>Public</x:v>
      </x:c>
      <x:c r="F9" s="14" t="str">
        <x:v>Chi tiết event</x:v>
      </x:c>
      <x:c r="G9" s="14" t="str"/>
      <x:c r="H9" s="14" t="str">
        <x:v>Chưa làm</x:v>
      </x:c>
      <x:c r="I9" s="14" t="str">
        <x:v>Chưa</x:v>
      </x:c>
      <x:c r="J9" s="14" t="str">
        <x:v>Chưa</x:v>
      </x:c>
      <x:c r="K9" s="14" t="str">
        <x:v>Chưa</x:v>
      </x:c>
      <x:c r="L9" s="14" t="str"/>
      <x:c r="M9" s="32" t="str"/>
      <x:c r="N9" s="32" t="str"/>
      <x:c r="O9" s="14" t="str"/>
    </x:row>
    <x:row r="10">
      <x:c r="A10" s="14" t="n">
        <x:v>9</x:v>
      </x:c>
      <x:c r="B10" s="14" t="str">
        <x:v>Public event API</x:v>
      </x:c>
      <x:c r="C10" s="14" t="str">
        <x:v>GET</x:v>
      </x:c>
      <x:c r="D10" s="14" t="str">
        <x:v>/api/events/{id}/available</x:v>
      </x:c>
      <x:c r="E10" s="14" t="str">
        <x:v>Public</x:v>
      </x:c>
      <x:c r="F10" s="14" t="str">
        <x:v>Số vé còn lại</x:v>
      </x:c>
      <x:c r="G10" s="14" t="str"/>
      <x:c r="H10" s="14" t="str">
        <x:v>Chưa làm</x:v>
      </x:c>
      <x:c r="I10" s="14" t="str">
        <x:v>Chưa</x:v>
      </x:c>
      <x:c r="J10" s="14" t="str">
        <x:v>Chưa</x:v>
      </x:c>
      <x:c r="K10" s="14" t="str">
        <x:v>Chưa</x:v>
      </x:c>
      <x:c r="L10" s="14" t="str"/>
      <x:c r="M10" s="32" t="str"/>
      <x:c r="N10" s="32" t="str"/>
      <x:c r="O10" s="14" t="str"/>
    </x:row>
    <x:row r="11">
      <x:c r="A11" s="14" t="n">
        <x:v>10</x:v>
      </x:c>
      <x:c r="B11" s="14" t="str">
        <x:v>Public event API</x:v>
      </x:c>
      <x:c r="C11" s="14" t="str">
        <x:v>GET</x:v>
      </x:c>
      <x:c r="D11" s="14" t="str">
        <x:v>/api/events/compare?ids=1,2,3</x:v>
      </x:c>
      <x:c r="E11" s="14" t="str">
        <x:v>Public/Auth</x:v>
      </x:c>
      <x:c r="F11" s="14" t="str">
        <x:v>So sánh nhiều sự kiện</x:v>
      </x:c>
      <x:c r="G11" s="14" t="str"/>
      <x:c r="H11" s="14" t="str">
        <x:v>Chưa làm</x:v>
      </x:c>
      <x:c r="I11" s="14" t="str">
        <x:v>Chưa</x:v>
      </x:c>
      <x:c r="J11" s="14" t="str">
        <x:v>Chưa</x:v>
      </x:c>
      <x:c r="K11" s="14" t="str">
        <x:v>Chưa</x:v>
      </x:c>
      <x:c r="L11" s="14" t="str"/>
      <x:c r="M11" s="32" t="str"/>
      <x:c r="N11" s="32" t="str"/>
      <x:c r="O11" s="14" t="str"/>
    </x:row>
    <x:row r="12">
      <x:c r="A12" s="14" t="n">
        <x:v>11</x:v>
      </x:c>
      <x:c r="B12" s="14" t="str">
        <x:v>Organizer event API</x:v>
      </x:c>
      <x:c r="C12" s="14" t="str">
        <x:v>POST</x:v>
      </x:c>
      <x:c r="D12" s="14" t="str">
        <x:v>/api/secure/organizer/events</x:v>
      </x:c>
      <x:c r="E12" s="14" t="str">
        <x:v>Organizer</x:v>
      </x:c>
      <x:c r="F12" s="14" t="str">
        <x:v>Tạo event, upload image/video</x:v>
      </x:c>
      <x:c r="G12" s="14" t="str"/>
      <x:c r="H12" s="14" t="str">
        <x:v>Chưa làm</x:v>
      </x:c>
      <x:c r="I12" s="14" t="str">
        <x:v>Chưa</x:v>
      </x:c>
      <x:c r="J12" s="14" t="str">
        <x:v>Chưa</x:v>
      </x:c>
      <x:c r="K12" s="14" t="str">
        <x:v>Chưa</x:v>
      </x:c>
      <x:c r="L12" s="14" t="str"/>
      <x:c r="M12" s="32" t="str"/>
      <x:c r="N12" s="32" t="str"/>
      <x:c r="O12" s="14" t="str"/>
    </x:row>
    <x:row r="13">
      <x:c r="A13" s="14" t="n">
        <x:v>12</x:v>
      </x:c>
      <x:c r="B13" s="14" t="str">
        <x:v>Organizer event API</x:v>
      </x:c>
      <x:c r="C13" s="14" t="str">
        <x:v>GET</x:v>
      </x:c>
      <x:c r="D13" s="14" t="str">
        <x:v>/api/secure/organizer/events</x:v>
      </x:c>
      <x:c r="E13" s="14" t="str">
        <x:v>Organizer</x:v>
      </x:c>
      <x:c r="F13" s="14" t="str">
        <x:v>Danh sách event của mình</x:v>
      </x:c>
      <x:c r="G13" s="14" t="str"/>
      <x:c r="H13" s="14" t="str">
        <x:v>Chưa làm</x:v>
      </x:c>
      <x:c r="I13" s="14" t="str">
        <x:v>Chưa</x:v>
      </x:c>
      <x:c r="J13" s="14" t="str">
        <x:v>Chưa</x:v>
      </x:c>
      <x:c r="K13" s="14" t="str">
        <x:v>Chưa</x:v>
      </x:c>
      <x:c r="L13" s="14" t="str"/>
      <x:c r="M13" s="32" t="str"/>
      <x:c r="N13" s="32" t="str"/>
      <x:c r="O13" s="14" t="str"/>
    </x:row>
    <x:row r="14">
      <x:c r="A14" s="14" t="n">
        <x:v>13</x:v>
      </x:c>
      <x:c r="B14" s="14" t="str">
        <x:v>Organizer event API</x:v>
      </x:c>
      <x:c r="C14" s="14" t="str">
        <x:v>GET</x:v>
      </x:c>
      <x:c r="D14" s="14" t="str">
        <x:v>/api/secure/organizer/events/{id}</x:v>
      </x:c>
      <x:c r="E14" s="14" t="str">
        <x:v>Organizer</x:v>
      </x:c>
      <x:c r="F14" s="14" t="str">
        <x:v>Chi tiết event của mình</x:v>
      </x:c>
      <x:c r="G14" s="14" t="str"/>
      <x:c r="H14" s="14" t="str">
        <x:v>Chưa làm</x:v>
      </x:c>
      <x:c r="I14" s="14" t="str">
        <x:v>Chưa</x:v>
      </x:c>
      <x:c r="J14" s="14" t="str">
        <x:v>Chưa</x:v>
      </x:c>
      <x:c r="K14" s="14" t="str">
        <x:v>Chưa</x:v>
      </x:c>
      <x:c r="L14" s="14" t="str"/>
      <x:c r="M14" s="32" t="str"/>
      <x:c r="N14" s="32" t="str"/>
      <x:c r="O14" s="14" t="str"/>
    </x:row>
    <x:row r="15">
      <x:c r="A15" s="14" t="n">
        <x:v>14</x:v>
      </x:c>
      <x:c r="B15" s="14" t="str">
        <x:v>Organizer event API</x:v>
      </x:c>
      <x:c r="C15" s="14" t="str">
        <x:v>PUT</x:v>
      </x:c>
      <x:c r="D15" s="14" t="str">
        <x:v>/api/secure/organizer/events/{id}</x:v>
      </x:c>
      <x:c r="E15" s="14" t="str">
        <x:v>Organizer</x:v>
      </x:c>
      <x:c r="F15" s="14" t="str">
        <x:v>Cập nhật event</x:v>
      </x:c>
      <x:c r="G15" s="14" t="str"/>
      <x:c r="H15" s="14" t="str">
        <x:v>Chưa làm</x:v>
      </x:c>
      <x:c r="I15" s="14" t="str">
        <x:v>Chưa</x:v>
      </x:c>
      <x:c r="J15" s="14" t="str">
        <x:v>Chưa</x:v>
      </x:c>
      <x:c r="K15" s="14" t="str">
        <x:v>Chưa</x:v>
      </x:c>
      <x:c r="L15" s="14" t="str"/>
      <x:c r="M15" s="32" t="str"/>
      <x:c r="N15" s="32" t="str"/>
      <x:c r="O15" s="14" t="str"/>
    </x:row>
    <x:row r="16">
      <x:c r="A16" s="14" t="n">
        <x:v>15</x:v>
      </x:c>
      <x:c r="B16" s="14" t="str">
        <x:v>Organizer event API</x:v>
      </x:c>
      <x:c r="C16" s="14" t="str">
        <x:v>DELETE</x:v>
      </x:c>
      <x:c r="D16" s="14" t="str">
        <x:v>/api/secure/organizer/events/{id}</x:v>
      </x:c>
      <x:c r="E16" s="14" t="str">
        <x:v>Organizer</x:v>
      </x:c>
      <x:c r="F16" s="14" t="str">
        <x:v>Xóa/hủy event nếu hợp lệ</x:v>
      </x:c>
      <x:c r="G16" s="14" t="str"/>
      <x:c r="H16" s="14" t="str">
        <x:v>Chưa làm</x:v>
      </x:c>
      <x:c r="I16" s="14" t="str">
        <x:v>Chưa</x:v>
      </x:c>
      <x:c r="J16" s="14" t="str">
        <x:v>Chưa</x:v>
      </x:c>
      <x:c r="K16" s="14" t="str">
        <x:v>Chưa</x:v>
      </x:c>
      <x:c r="L16" s="14" t="str"/>
      <x:c r="M16" s="32" t="str"/>
      <x:c r="N16" s="32" t="str"/>
      <x:c r="O16" s="14" t="str"/>
    </x:row>
    <x:row r="17">
      <x:c r="A17" s="14" t="n">
        <x:v>16</x:v>
      </x:c>
      <x:c r="B17" s="14" t="str">
        <x:v>Organizer event API</x:v>
      </x:c>
      <x:c r="C17" s="14" t="str">
        <x:v>GET</x:v>
      </x:c>
      <x:c r="D17" s="14" t="str">
        <x:v>/api/secure/organizer/events/{id}/bookings</x:v>
      </x:c>
      <x:c r="E17" s="14" t="str">
        <x:v>Organizer</x:v>
      </x:c>
      <x:c r="F17" s="14" t="str">
        <x:v>Danh sách khách đã mua/đăng ký</x:v>
      </x:c>
      <x:c r="G17" s="14" t="str"/>
      <x:c r="H17" s="14" t="str">
        <x:v>Chưa làm</x:v>
      </x:c>
      <x:c r="I17" s="14" t="str">
        <x:v>Chưa</x:v>
      </x:c>
      <x:c r="J17" s="14" t="str">
        <x:v>Chưa</x:v>
      </x:c>
      <x:c r="K17" s="14" t="str">
        <x:v>Chưa</x:v>
      </x:c>
      <x:c r="L17" s="14" t="str"/>
      <x:c r="M17" s="32" t="str"/>
      <x:c r="N17" s="32" t="str"/>
      <x:c r="O17" s="14" t="str"/>
    </x:row>
    <x:row r="18">
      <x:c r="A18" s="14" t="n">
        <x:v>17</x:v>
      </x:c>
      <x:c r="B18" s="14" t="str">
        <x:v>Organizer event API</x:v>
      </x:c>
      <x:c r="C18" s="14" t="str">
        <x:v>GET</x:v>
      </x:c>
      <x:c r="D18" s="14" t="str">
        <x:v>/api/secure/organizer/events/{id}/stats</x:v>
      </x:c>
      <x:c r="E18" s="14" t="str">
        <x:v>Organizer</x:v>
      </x:c>
      <x:c r="F18" s="14" t="str">
        <x:v>Thống kê event</x:v>
      </x:c>
      <x:c r="G18" s="14" t="str"/>
      <x:c r="H18" s="14" t="str">
        <x:v>Chưa làm</x:v>
      </x:c>
      <x:c r="I18" s="14" t="str">
        <x:v>Chưa</x:v>
      </x:c>
      <x:c r="J18" s="14" t="str">
        <x:v>Chưa</x:v>
      </x:c>
      <x:c r="K18" s="14" t="str">
        <x:v>Chưa</x:v>
      </x:c>
      <x:c r="L18" s="14" t="str"/>
      <x:c r="M18" s="32" t="str"/>
      <x:c r="N18" s="32" t="str"/>
      <x:c r="O18" s="14" t="str"/>
    </x:row>
    <x:row r="19">
      <x:c r="A19" s="14" t="n">
        <x:v>18</x:v>
      </x:c>
      <x:c r="B19" s="14" t="str">
        <x:v>Organizer event API</x:v>
      </x:c>
      <x:c r="C19" s="14" t="str">
        <x:v>POST</x:v>
      </x:c>
      <x:c r="D19" s="14" t="str">
        <x:v>/api/secure/organizer/checkin</x:v>
      </x:c>
      <x:c r="E19" s="14" t="str">
        <x:v>Organizer</x:v>
      </x:c>
      <x:c r="F19" s="14" t="str">
        <x:v>Check-in QR vé</x:v>
      </x:c>
      <x:c r="G19" s="14" t="str"/>
      <x:c r="H19" s="14" t="str">
        <x:v>Chưa làm</x:v>
      </x:c>
      <x:c r="I19" s="14" t="str">
        <x:v>Chưa</x:v>
      </x:c>
      <x:c r="J19" s="14" t="str">
        <x:v>Chưa</x:v>
      </x:c>
      <x:c r="K19" s="14" t="str">
        <x:v>Chưa</x:v>
      </x:c>
      <x:c r="L19" s="14" t="str"/>
      <x:c r="M19" s="32" t="str"/>
      <x:c r="N19" s="32" t="str"/>
      <x:c r="O19" s="14" t="str"/>
    </x:row>
    <x:row r="20">
      <x:c r="A20" s="14" t="n">
        <x:v>19</x:v>
      </x:c>
      <x:c r="B20" s="14" t="str">
        <x:v>Booking API</x:v>
      </x:c>
      <x:c r="C20" s="14" t="str">
        <x:v>POST</x:v>
      </x:c>
      <x:c r="D20" s="14" t="str">
        <x:v>/api/secure/bookings</x:v>
      </x:c>
      <x:c r="E20" s="14" t="str">
        <x:v>Attendee</x:v>
      </x:c>
      <x:c r="F20" s="14" t="str">
        <x:v>Tạo đơn đặt vé</x:v>
      </x:c>
      <x:c r="G20" s="14" t="str"/>
      <x:c r="H20" s="14" t="str">
        <x:v>Chưa làm</x:v>
      </x:c>
      <x:c r="I20" s="14" t="str">
        <x:v>Chưa</x:v>
      </x:c>
      <x:c r="J20" s="14" t="str">
        <x:v>Chưa</x:v>
      </x:c>
      <x:c r="K20" s="14" t="str">
        <x:v>Chưa</x:v>
      </x:c>
      <x:c r="L20" s="14" t="str"/>
      <x:c r="M20" s="32" t="str"/>
      <x:c r="N20" s="32" t="str"/>
      <x:c r="O20" s="14" t="str"/>
    </x:row>
    <x:row r="21">
      <x:c r="A21" s="14" t="n">
        <x:v>20</x:v>
      </x:c>
      <x:c r="B21" s="14" t="str">
        <x:v>Booking API</x:v>
      </x:c>
      <x:c r="C21" s="14" t="str">
        <x:v>GET</x:v>
      </x:c>
      <x:c r="D21" s="14" t="str">
        <x:v>/api/secure/bookings</x:v>
      </x:c>
      <x:c r="E21" s="14" t="str">
        <x:v>Attendee</x:v>
      </x:c>
      <x:c r="F21" s="14" t="str">
        <x:v>Lịch sử booking của bản thân</x:v>
      </x:c>
      <x:c r="G21" s="14" t="str"/>
      <x:c r="H21" s="14" t="str">
        <x:v>Chưa làm</x:v>
      </x:c>
      <x:c r="I21" s="14" t="str">
        <x:v>Chưa</x:v>
      </x:c>
      <x:c r="J21" s="14" t="str">
        <x:v>Chưa</x:v>
      </x:c>
      <x:c r="K21" s="14" t="str">
        <x:v>Chưa</x:v>
      </x:c>
      <x:c r="L21" s="14" t="str"/>
      <x:c r="M21" s="32" t="str"/>
      <x:c r="N21" s="32" t="str"/>
      <x:c r="O21" s="14" t="str"/>
    </x:row>
    <x:row r="22">
      <x:c r="A22" s="14" t="n">
        <x:v>21</x:v>
      </x:c>
      <x:c r="B22" s="14" t="str">
        <x:v>Booking API</x:v>
      </x:c>
      <x:c r="C22" s="14" t="str">
        <x:v>GET</x:v>
      </x:c>
      <x:c r="D22" s="14" t="str">
        <x:v>/api/secure/bookings/{id}</x:v>
      </x:c>
      <x:c r="E22" s="14" t="str">
        <x:v>Attendee/Admin/Owner organizer</x:v>
      </x:c>
      <x:c r="F22" s="14" t="str">
        <x:v>Chi tiết booking</x:v>
      </x:c>
      <x:c r="G22" s="14" t="str"/>
      <x:c r="H22" s="14" t="str">
        <x:v>Chưa làm</x:v>
      </x:c>
      <x:c r="I22" s="14" t="str">
        <x:v>Chưa</x:v>
      </x:c>
      <x:c r="J22" s="14" t="str">
        <x:v>Chưa</x:v>
      </x:c>
      <x:c r="K22" s="14" t="str">
        <x:v>Chưa</x:v>
      </x:c>
      <x:c r="L22" s="14" t="str"/>
      <x:c r="M22" s="32" t="str"/>
      <x:c r="N22" s="32" t="str"/>
      <x:c r="O22" s="14" t="str"/>
    </x:row>
    <x:row r="23">
      <x:c r="A23" s="14" t="n">
        <x:v>22</x:v>
      </x:c>
      <x:c r="B23" s="14" t="str">
        <x:v>Booking API</x:v>
      </x:c>
      <x:c r="C23" s="14" t="str">
        <x:v>POST</x:v>
      </x:c>
      <x:c r="D23" s="14" t="str">
        <x:v>/api/secure/bookings/{id}/cancel</x:v>
      </x:c>
      <x:c r="E23" s="14" t="str">
        <x:v>Attendee</x:v>
      </x:c>
      <x:c r="F23" s="14" t="str">
        <x:v>Hủy booking pending</x:v>
      </x:c>
      <x:c r="G23" s="14" t="str"/>
      <x:c r="H23" s="14" t="str">
        <x:v>Chưa làm</x:v>
      </x:c>
      <x:c r="I23" s="14" t="str">
        <x:v>Chưa</x:v>
      </x:c>
      <x:c r="J23" s="14" t="str">
        <x:v>Chưa</x:v>
      </x:c>
      <x:c r="K23" s="14" t="str">
        <x:v>Chưa</x:v>
      </x:c>
      <x:c r="L23" s="14" t="str"/>
      <x:c r="M23" s="32" t="str"/>
      <x:c r="N23" s="32" t="str"/>
      <x:c r="O23" s="14" t="str"/>
    </x:row>
    <x:row r="24">
      <x:c r="A24" s="14" t="n">
        <x:v>23</x:v>
      </x:c>
      <x:c r="B24" s="14" t="str">
        <x:v>Payment API</x:v>
      </x:c>
      <x:c r="C24" s="14" t="str">
        <x:v>POST</x:v>
      </x:c>
      <x:c r="D24" s="14" t="str">
        <x:v>/api/secure/payments</x:v>
      </x:c>
      <x:c r="E24" s="14" t="str">
        <x:v>Attendee</x:v>
      </x:c>
      <x:c r="F24" s="14" t="str">
        <x:v>Tạo payment cho booking</x:v>
      </x:c>
      <x:c r="G24" s="14" t="str"/>
      <x:c r="H24" s="14" t="str">
        <x:v>Chưa làm</x:v>
      </x:c>
      <x:c r="I24" s="14" t="str">
        <x:v>Chưa</x:v>
      </x:c>
      <x:c r="J24" s="14" t="str">
        <x:v>Chưa</x:v>
      </x:c>
      <x:c r="K24" s="14" t="str">
        <x:v>Chưa</x:v>
      </x:c>
      <x:c r="L24" s="14" t="str"/>
      <x:c r="M24" s="32" t="str"/>
      <x:c r="N24" s="32" t="str"/>
      <x:c r="O24" s="14" t="str"/>
    </x:row>
    <x:row r="25">
      <x:c r="A25" s="14" t="n">
        <x:v>24</x:v>
      </x:c>
      <x:c r="B25" s="14" t="str">
        <x:v>Payment API</x:v>
      </x:c>
      <x:c r="C25" s="14" t="str">
        <x:v>POST</x:v>
      </x:c>
      <x:c r="D25" s="14" t="str">
        <x:v>/api/secure/payments/{bookingId}/cash</x:v>
      </x:c>
      <x:c r="E25" s="14" t="str">
        <x:v>Attendee</x:v>
      </x:c>
      <x:c r="F25" s="14" t="str">
        <x:v>Chọn thanh toán tiền mặt</x:v>
      </x:c>
      <x:c r="G25" s="14" t="str"/>
      <x:c r="H25" s="14" t="str">
        <x:v>Chưa làm</x:v>
      </x:c>
      <x:c r="I25" s="14" t="str">
        <x:v>Chưa</x:v>
      </x:c>
      <x:c r="J25" s="14" t="str">
        <x:v>Chưa</x:v>
      </x:c>
      <x:c r="K25" s="14" t="str">
        <x:v>Chưa</x:v>
      </x:c>
      <x:c r="L25" s="14" t="str"/>
      <x:c r="M25" s="32" t="str"/>
      <x:c r="N25" s="32" t="str"/>
      <x:c r="O25" s="14" t="str"/>
    </x:row>
    <x:row r="26">
      <x:c r="A26" s="14" t="n">
        <x:v>25</x:v>
      </x:c>
      <x:c r="B26" s="14" t="str">
        <x:v>Payment API</x:v>
      </x:c>
      <x:c r="C26" s="14" t="str">
        <x:v>POST</x:v>
      </x:c>
      <x:c r="D26" s="14" t="str">
        <x:v>/api/secure/payments/{bookingId}/paypal</x:v>
      </x:c>
      <x:c r="E26" s="14" t="str">
        <x:v>Attendee</x:v>
      </x:c>
      <x:c r="F26" s="14" t="str">
        <x:v>Tạo giao dịch PayPal</x:v>
      </x:c>
      <x:c r="G26" s="14" t="str"/>
      <x:c r="H26" s="14" t="str">
        <x:v>Chưa làm</x:v>
      </x:c>
      <x:c r="I26" s="14" t="str">
        <x:v>Chưa</x:v>
      </x:c>
      <x:c r="J26" s="14" t="str">
        <x:v>Chưa</x:v>
      </x:c>
      <x:c r="K26" s="14" t="str">
        <x:v>Chưa</x:v>
      </x:c>
      <x:c r="L26" s="14" t="str"/>
      <x:c r="M26" s="32" t="str"/>
      <x:c r="N26" s="32" t="str"/>
      <x:c r="O26" s="14" t="str"/>
    </x:row>
    <x:row r="27">
      <x:c r="A27" s="14" t="n">
        <x:v>26</x:v>
      </x:c>
      <x:c r="B27" s="14" t="str">
        <x:v>Payment API</x:v>
      </x:c>
      <x:c r="C27" s="14" t="str">
        <x:v>POST</x:v>
      </x:c>
      <x:c r="D27" s="14" t="str">
        <x:v>/api/secure/payments/{bookingId}/stripe</x:v>
      </x:c>
      <x:c r="E27" s="14" t="str">
        <x:v>Attendee</x:v>
      </x:c>
      <x:c r="F27" s="14" t="str">
        <x:v>Tạo giao dịch Stripe</x:v>
      </x:c>
      <x:c r="G27" s="14" t="str"/>
      <x:c r="H27" s="14" t="str">
        <x:v>Chưa làm</x:v>
      </x:c>
      <x:c r="I27" s="14" t="str">
        <x:v>Chưa</x:v>
      </x:c>
      <x:c r="J27" s="14" t="str">
        <x:v>Chưa</x:v>
      </x:c>
      <x:c r="K27" s="14" t="str">
        <x:v>Chưa</x:v>
      </x:c>
      <x:c r="L27" s="14" t="str"/>
      <x:c r="M27" s="32" t="str"/>
      <x:c r="N27" s="32" t="str"/>
      <x:c r="O27" s="14" t="str"/>
    </x:row>
    <x:row r="28">
      <x:c r="A28" s="14" t="n">
        <x:v>27</x:v>
      </x:c>
      <x:c r="B28" s="14" t="str">
        <x:v>Payment API</x:v>
      </x:c>
      <x:c r="C28" s="14" t="str">
        <x:v>POST</x:v>
      </x:c>
      <x:c r="D28" s="14" t="str">
        <x:v>/api/secure/payments/{bookingId}/momo</x:v>
      </x:c>
      <x:c r="E28" s="14" t="str">
        <x:v>Attendee</x:v>
      </x:c>
      <x:c r="F28" s="14" t="str">
        <x:v>Tạo giao dịch MoMo</x:v>
      </x:c>
      <x:c r="G28" s="14" t="str"/>
      <x:c r="H28" s="14" t="str">
        <x:v>Chưa làm</x:v>
      </x:c>
      <x:c r="I28" s="14" t="str">
        <x:v>Chưa</x:v>
      </x:c>
      <x:c r="J28" s="14" t="str">
        <x:v>Chưa</x:v>
      </x:c>
      <x:c r="K28" s="14" t="str">
        <x:v>Chưa</x:v>
      </x:c>
      <x:c r="L28" s="14" t="str"/>
      <x:c r="M28" s="32" t="str"/>
      <x:c r="N28" s="32" t="str"/>
      <x:c r="O28" s="14" t="str"/>
    </x:row>
    <x:row r="29">
      <x:c r="A29" s="14" t="n">
        <x:v>28</x:v>
      </x:c>
      <x:c r="B29" s="14" t="str">
        <x:v>Payment API</x:v>
      </x:c>
      <x:c r="C29" s="14" t="str">
        <x:v>POST</x:v>
      </x:c>
      <x:c r="D29" s="14" t="str">
        <x:v>/api/secure/payments/{bookingId}/zalopay</x:v>
      </x:c>
      <x:c r="E29" s="14" t="str">
        <x:v>Attendee</x:v>
      </x:c>
      <x:c r="F29" s="14" t="str">
        <x:v>Tạo giao dịch ZaloPay</x:v>
      </x:c>
      <x:c r="G29" s="14" t="str"/>
      <x:c r="H29" s="14" t="str">
        <x:v>Chưa làm</x:v>
      </x:c>
      <x:c r="I29" s="14" t="str">
        <x:v>Chưa</x:v>
      </x:c>
      <x:c r="J29" s="14" t="str">
        <x:v>Chưa</x:v>
      </x:c>
      <x:c r="K29" s="14" t="str">
        <x:v>Chưa</x:v>
      </x:c>
      <x:c r="L29" s="14" t="str"/>
      <x:c r="M29" s="32" t="str"/>
      <x:c r="N29" s="32" t="str"/>
      <x:c r="O29" s="14" t="str"/>
    </x:row>
    <x:row r="30">
      <x:c r="A30" s="14" t="n">
        <x:v>29</x:v>
      </x:c>
      <x:c r="B30" s="14" t="str">
        <x:v>Payment API</x:v>
      </x:c>
      <x:c r="C30" s="14" t="str">
        <x:v>GET</x:v>
      </x:c>
      <x:c r="D30" s="14" t="str">
        <x:v>/api/payment/callback/{provider}</x:v>
      </x:c>
      <x:c r="E30" s="14" t="str">
        <x:v>Public</x:v>
      </x:c>
      <x:c r="F30" s="14" t="str">
        <x:v>Provider callback</x:v>
      </x:c>
      <x:c r="G30" s="14" t="str"/>
      <x:c r="H30" s="14" t="str">
        <x:v>Chưa làm</x:v>
      </x:c>
      <x:c r="I30" s="14" t="str">
        <x:v>Chưa</x:v>
      </x:c>
      <x:c r="J30" s="14" t="str">
        <x:v>Chưa</x:v>
      </x:c>
      <x:c r="K30" s="14" t="str">
        <x:v>Chưa</x:v>
      </x:c>
      <x:c r="L30" s="14" t="str"/>
      <x:c r="M30" s="32" t="str"/>
      <x:c r="N30" s="32" t="str"/>
      <x:c r="O30" s="14" t="str"/>
    </x:row>
    <x:row r="31">
      <x:c r="A31" s="14" t="n">
        <x:v>30</x:v>
      </x:c>
      <x:c r="B31" s="14" t="str">
        <x:v>Payment API</x:v>
      </x:c>
      <x:c r="C31" s="14" t="str">
        <x:v>POST</x:v>
      </x:c>
      <x:c r="D31" s="14" t="str">
        <x:v>/api/payment/webhook/{provider}</x:v>
      </x:c>
      <x:c r="E31" s="14" t="str">
        <x:v>Public</x:v>
      </x:c>
      <x:c r="F31" s="14" t="str">
        <x:v>Provider webhook nếu cần</x:v>
      </x:c>
      <x:c r="G31" s="14" t="str"/>
      <x:c r="H31" s="14" t="str">
        <x:v>Chưa làm</x:v>
      </x:c>
      <x:c r="I31" s="14" t="str">
        <x:v>Chưa</x:v>
      </x:c>
      <x:c r="J31" s="14" t="str">
        <x:v>Chưa</x:v>
      </x:c>
      <x:c r="K31" s="14" t="str">
        <x:v>Chưa</x:v>
      </x:c>
      <x:c r="L31" s="14" t="str"/>
      <x:c r="M31" s="32" t="str"/>
      <x:c r="N31" s="32" t="str"/>
      <x:c r="O31" s="14" t="str"/>
    </x:row>
    <x:row r="32">
      <x:c r="A32" s="14" t="n">
        <x:v>31</x:v>
      </x:c>
      <x:c r="B32" s="14" t="str">
        <x:v>Payment API</x:v>
      </x:c>
      <x:c r="C32" s="14" t="str">
        <x:v>GET</x:v>
      </x:c>
      <x:c r="D32" s="14" t="str">
        <x:v>/api/secure/payments</x:v>
      </x:c>
      <x:c r="E32" s="14" t="str">
        <x:v>Attendee</x:v>
      </x:c>
      <x:c r="F32" s="14" t="str">
        <x:v>Lịch sử payment của bản thân</x:v>
      </x:c>
      <x:c r="G32" s="14" t="str"/>
      <x:c r="H32" s="14" t="str">
        <x:v>Chưa làm</x:v>
      </x:c>
      <x:c r="I32" s="14" t="str">
        <x:v>Chưa</x:v>
      </x:c>
      <x:c r="J32" s="14" t="str">
        <x:v>Chưa</x:v>
      </x:c>
      <x:c r="K32" s="14" t="str">
        <x:v>Chưa</x:v>
      </x:c>
      <x:c r="L32" s="14" t="str"/>
      <x:c r="M32" s="32" t="str"/>
      <x:c r="N32" s="32" t="str"/>
      <x:c r="O32" s="14" t="str"/>
    </x:row>
    <x:row r="33">
      <x:c r="A33" s="14" t="n">
        <x:v>32</x:v>
      </x:c>
      <x:c r="B33" s="14" t="str">
        <x:v>Ticket API</x:v>
      </x:c>
      <x:c r="C33" s="14" t="str">
        <x:v>GET</x:v>
      </x:c>
      <x:c r="D33" s="14" t="str">
        <x:v>/api/secure/tickets</x:v>
      </x:c>
      <x:c r="E33" s="14" t="str">
        <x:v>Attendee</x:v>
      </x:c>
      <x:c r="F33" s="14" t="str">
        <x:v>Danh sách vé QR đã mua</x:v>
      </x:c>
      <x:c r="G33" s="14" t="str"/>
      <x:c r="H33" s="14" t="str">
        <x:v>Chưa làm</x:v>
      </x:c>
      <x:c r="I33" s="14" t="str">
        <x:v>Chưa</x:v>
      </x:c>
      <x:c r="J33" s="14" t="str">
        <x:v>Chưa</x:v>
      </x:c>
      <x:c r="K33" s="14" t="str">
        <x:v>Chưa</x:v>
      </x:c>
      <x:c r="L33" s="14" t="str"/>
      <x:c r="M33" s="32" t="str"/>
      <x:c r="N33" s="32" t="str"/>
      <x:c r="O33" s="14" t="str"/>
    </x:row>
    <x:row r="34">
      <x:c r="A34" s="14" t="n">
        <x:v>33</x:v>
      </x:c>
      <x:c r="B34" s="14" t="str">
        <x:v>Ticket API</x:v>
      </x:c>
      <x:c r="C34" s="14" t="str">
        <x:v>GET</x:v>
      </x:c>
      <x:c r="D34" s="14" t="str">
        <x:v>/api/secure/tickets/{id}</x:v>
      </x:c>
      <x:c r="E34" s="14" t="str">
        <x:v>Attendee</x:v>
      </x:c>
      <x:c r="F34" s="14" t="str">
        <x:v>Chi tiết vé</x:v>
      </x:c>
      <x:c r="G34" s="14" t="str"/>
      <x:c r="H34" s="14" t="str">
        <x:v>Chưa làm</x:v>
      </x:c>
      <x:c r="I34" s="14" t="str">
        <x:v>Chưa</x:v>
      </x:c>
      <x:c r="J34" s="14" t="str">
        <x:v>Chưa</x:v>
      </x:c>
      <x:c r="K34" s="14" t="str">
        <x:v>Chưa</x:v>
      </x:c>
      <x:c r="L34" s="14" t="str"/>
      <x:c r="M34" s="32" t="str"/>
      <x:c r="N34" s="32" t="str"/>
      <x:c r="O34" s="14" t="str"/>
    </x:row>
    <x:row r="35">
      <x:c r="A35" s="14" t="n">
        <x:v>34</x:v>
      </x:c>
      <x:c r="B35" s="14" t="str">
        <x:v>Ticket API</x:v>
      </x:c>
      <x:c r="C35" s="14" t="str">
        <x:v>GET</x:v>
      </x:c>
      <x:c r="D35" s="14" t="str">
        <x:v>/api/secure/tickets/qr/{qrCode}</x:v>
      </x:c>
      <x:c r="E35" s="14" t="str">
        <x:v>Organizer/Admin</x:v>
      </x:c>
      <x:c r="F35" s="14" t="str">
        <x:v>Tra cứu vé bằng QR</x:v>
      </x:c>
      <x:c r="G35" s="14" t="str"/>
      <x:c r="H35" s="14" t="str">
        <x:v>Chưa làm</x:v>
      </x:c>
      <x:c r="I35" s="14" t="str">
        <x:v>Chưa</x:v>
      </x:c>
      <x:c r="J35" s="14" t="str">
        <x:v>Chưa</x:v>
      </x:c>
      <x:c r="K35" s="14" t="str">
        <x:v>Chưa</x:v>
      </x:c>
      <x:c r="L35" s="14" t="str"/>
      <x:c r="M35" s="32" t="str"/>
      <x:c r="N35" s="32" t="str"/>
      <x:c r="O35" s="14" t="str"/>
    </x:row>
    <x:row r="36">
      <x:c r="A36" s="14" t="n">
        <x:v>35</x:v>
      </x:c>
      <x:c r="B36" s="14" t="str">
        <x:v>Ticket API</x:v>
      </x:c>
      <x:c r="C36" s="14" t="str">
        <x:v>POST</x:v>
      </x:c>
      <x:c r="D36" s="14" t="str">
        <x:v>/api/secure/tickets/checkin</x:v>
      </x:c>
      <x:c r="E36" s="14" t="str">
        <x:v>Organizer</x:v>
      </x:c>
      <x:c r="F36" s="14" t="str">
        <x:v>Check-in vé</x:v>
      </x:c>
      <x:c r="G36" s="14" t="str"/>
      <x:c r="H36" s="14" t="str">
        <x:v>Chưa làm</x:v>
      </x:c>
      <x:c r="I36" s="14" t="str">
        <x:v>Chưa</x:v>
      </x:c>
      <x:c r="J36" s="14" t="str">
        <x:v>Chưa</x:v>
      </x:c>
      <x:c r="K36" s="14" t="str">
        <x:v>Chưa</x:v>
      </x:c>
      <x:c r="L36" s="14" t="str"/>
      <x:c r="M36" s="32" t="str"/>
      <x:c r="N36" s="32" t="str"/>
      <x:c r="O36" s="14" t="str"/>
    </x:row>
    <x:row r="37">
      <x:c r="A37" s="14" t="n">
        <x:v>36</x:v>
      </x:c>
      <x:c r="B37" s="14" t="str">
        <x:v>Statistic API</x:v>
      </x:c>
      <x:c r="C37" s="14" t="str">
        <x:v>GET</x:v>
      </x:c>
      <x:c r="D37" s="14" t="str">
        <x:v>/api/secure/organizer/stats/overview</x:v>
      </x:c>
      <x:c r="E37" s="14" t="str">
        <x:v>Organizer</x:v>
      </x:c>
      <x:c r="F37" s="14" t="str">
        <x:v>Tổng quan của organizer</x:v>
      </x:c>
      <x:c r="G37" s="14" t="str"/>
      <x:c r="H37" s="14" t="str">
        <x:v>Chưa làm</x:v>
      </x:c>
      <x:c r="I37" s="14" t="str">
        <x:v>Chưa</x:v>
      </x:c>
      <x:c r="J37" s="14" t="str">
        <x:v>Chưa</x:v>
      </x:c>
      <x:c r="K37" s="14" t="str">
        <x:v>Chưa</x:v>
      </x:c>
      <x:c r="L37" s="14" t="str"/>
      <x:c r="M37" s="32" t="str"/>
      <x:c r="N37" s="32" t="str"/>
      <x:c r="O37" s="14" t="str"/>
    </x:row>
    <x:row r="38">
      <x:c r="A38" s="14" t="n">
        <x:v>37</x:v>
      </x:c>
      <x:c r="B38" s="14" t="str">
        <x:v>Statistic API</x:v>
      </x:c>
      <x:c r="C38" s="14" t="str">
        <x:v>GET</x:v>
      </x:c>
      <x:c r="D38" s="14" t="str">
        <x:v>/api/secure/organizer/stats/events/{eventId}</x:v>
      </x:c>
      <x:c r="E38" s="14" t="str">
        <x:v>Organizer</x:v>
      </x:c>
      <x:c r="F38" s="14" t="str">
        <x:v>Thống kê một event</x:v>
      </x:c>
      <x:c r="G38" s="14" t="str"/>
      <x:c r="H38" s="14" t="str">
        <x:v>Chưa làm</x:v>
      </x:c>
      <x:c r="I38" s="14" t="str">
        <x:v>Chưa</x:v>
      </x:c>
      <x:c r="J38" s="14" t="str">
        <x:v>Chưa</x:v>
      </x:c>
      <x:c r="K38" s="14" t="str">
        <x:v>Chưa</x:v>
      </x:c>
      <x:c r="L38" s="14" t="str"/>
      <x:c r="M38" s="32" t="str"/>
      <x:c r="N38" s="32" t="str"/>
      <x:c r="O38" s="14" t="str"/>
    </x:row>
    <x:row r="39">
      <x:c r="A39" s="14" t="n">
        <x:v>38</x:v>
      </x:c>
      <x:c r="B39" s="14" t="str">
        <x:v>Statistic API</x:v>
      </x:c>
      <x:c r="C39" s="14" t="str">
        <x:v>GET</x:v>
      </x:c>
      <x:c r="D39" s="14" t="str">
        <x:v>/api/secure/organizer/stats/revenue?groupBy=month&amp;year=2026</x:v>
      </x:c>
      <x:c r="E39" s="14" t="str">
        <x:v>Organizer</x:v>
      </x:c>
      <x:c r="F39" s="14" t="str">
        <x:v>Doanh thu tháng/quý/năm</x:v>
      </x:c>
      <x:c r="G39" s="14" t="str"/>
      <x:c r="H39" s="14" t="str">
        <x:v>Chưa làm</x:v>
      </x:c>
      <x:c r="I39" s="14" t="str">
        <x:v>Chưa</x:v>
      </x:c>
      <x:c r="J39" s="14" t="str">
        <x:v>Chưa</x:v>
      </x:c>
      <x:c r="K39" s="14" t="str">
        <x:v>Chưa</x:v>
      </x:c>
      <x:c r="L39" s="14" t="str"/>
      <x:c r="M39" s="32" t="str"/>
      <x:c r="N39" s="32" t="str"/>
      <x:c r="O39" s="14" t="str"/>
    </x:row>
    <x:row r="40">
      <x:c r="A40" s="14" t="n">
        <x:v>39</x:v>
      </x:c>
      <x:c r="B40" s="14" t="str">
        <x:v>Statistic API</x:v>
      </x:c>
      <x:c r="C40" s="14" t="str">
        <x:v>GET</x:v>
      </x:c>
      <x:c r="D40" s="14" t="str">
        <x:v>/api/secure/admin/stats/overview</x:v>
      </x:c>
      <x:c r="E40" s="14" t="str">
        <x:v>Admin</x:v>
      </x:c>
      <x:c r="F40" s="14" t="str">
        <x:v>Tổng quan toàn hệ thống</x:v>
      </x:c>
      <x:c r="G40" s="14" t="str"/>
      <x:c r="H40" s="14" t="str">
        <x:v>Chưa làm</x:v>
      </x:c>
      <x:c r="I40" s="14" t="str">
        <x:v>Chưa</x:v>
      </x:c>
      <x:c r="J40" s="14" t="str">
        <x:v>Chưa</x:v>
      </x:c>
      <x:c r="K40" s="14" t="str">
        <x:v>Chưa</x:v>
      </x:c>
      <x:c r="L40" s="14" t="str"/>
      <x:c r="M40" s="32" t="str"/>
      <x:c r="N40" s="32" t="str"/>
      <x:c r="O40" s="14" t="str"/>
    </x:row>
    <x:row r="41">
      <x:c r="A41" s="14" t="n">
        <x:v>40</x:v>
      </x:c>
      <x:c r="B41" s="14" t="str">
        <x:v>Statistic API</x:v>
      </x:c>
      <x:c r="C41" s="14" t="str">
        <x:v>GET</x:v>
      </x:c>
      <x:c r="D41" s="14" t="str">
        <x:v>/api/secure/admin/stats/revenue?groupBy=month&amp;year=2026</x:v>
      </x:c>
      <x:c r="E41" s="14" t="str">
        <x:v>Admin</x:v>
      </x:c>
      <x:c r="F41" s="14" t="str">
        <x:v>Doanh thu hệ thống</x:v>
      </x:c>
      <x:c r="G41" s="14" t="str"/>
      <x:c r="H41" s="14" t="str">
        <x:v>Chưa làm</x:v>
      </x:c>
      <x:c r="I41" s="14" t="str">
        <x:v>Chưa</x:v>
      </x:c>
      <x:c r="J41" s="14" t="str">
        <x:v>Chưa</x:v>
      </x:c>
      <x:c r="K41" s="14" t="str">
        <x:v>Chưa</x:v>
      </x:c>
      <x:c r="L41" s="14" t="str"/>
      <x:c r="M41" s="32" t="str"/>
      <x:c r="N41" s="32" t="str"/>
      <x:c r="O41" s="14" t="str"/>
    </x:row>
    <x:row r="42">
      <x:c r="A42" s="14" t="n">
        <x:v>41</x:v>
      </x:c>
      <x:c r="B42" s="14" t="str">
        <x:v>Statistic API</x:v>
      </x:c>
      <x:c r="C42" s="14" t="str">
        <x:v>GET</x:v>
      </x:c>
      <x:c r="D42" s="14" t="str">
        <x:v>/api/secure/admin/stats/categories</x:v>
      </x:c>
      <x:c r="E42" s="14" t="str">
        <x:v>Admin</x:v>
      </x:c>
      <x:c r="F42" s="14" t="str">
        <x:v>Event/booking/revenue theo danh mục</x:v>
      </x:c>
      <x:c r="G42" s="14" t="str"/>
      <x:c r="H42" s="14" t="str">
        <x:v>Chưa làm</x:v>
      </x:c>
      <x:c r="I42" s="14" t="str">
        <x:v>Chưa</x:v>
      </x:c>
      <x:c r="J42" s="14" t="str">
        <x:v>Chưa</x:v>
      </x:c>
      <x:c r="K42" s="14" t="str">
        <x:v>Chưa</x:v>
      </x:c>
      <x:c r="L42" s="14" t="str"/>
      <x:c r="M42" s="32" t="str"/>
      <x:c r="N42" s="32" t="str"/>
      <x:c r="O42" s="14" t="str"/>
    </x:row>
    <x:row r="43">
      <x:c r="A43" s="14" t="n">
        <x:v>42</x:v>
      </x:c>
      <x:c r="B43" s="14" t="str">
        <x:v>Statistic API</x:v>
      </x:c>
      <x:c r="C43" s="14" t="str">
        <x:v>GET</x:v>
      </x:c>
      <x:c r="D43" s="14" t="str">
        <x:v>/api/secure/admin/stats/organizers</x:v>
      </x:c>
      <x:c r="E43" s="14" t="str">
        <x:v>Admin</x:v>
      </x:c>
      <x:c r="F43" s="14" t="str">
        <x:v>Hiệu quả theo organizer</x:v>
      </x:c>
      <x:c r="G43" s="14" t="str"/>
      <x:c r="H43" s="14" t="str">
        <x:v>Chưa làm</x:v>
      </x:c>
      <x:c r="I43" s="14" t="str">
        <x:v>Chưa</x:v>
      </x:c>
      <x:c r="J43" s="14" t="str">
        <x:v>Chưa</x:v>
      </x:c>
      <x:c r="K43" s="14" t="str">
        <x:v>Chưa</x:v>
      </x:c>
      <x:c r="L43" s="14" t="str"/>
      <x:c r="M43" s="32" t="str"/>
      <x:c r="N43" s="32" t="str"/>
      <x:c r="O43" s="14" t="str"/>
    </x:row>
    <x:row r="44">
      <x:c r="A44" s="14" t="n">
        <x:v>43</x:v>
      </x:c>
      <x:c r="B44" s="14" t="str">
        <x:v>Admin web routes cần hoàn thiện</x:v>
      </x:c>
      <x:c r="C44" s="14" t="str">
        <x:v>GET</x:v>
      </x:c>
      <x:c r="D44" s="14" t="str">
        <x:v>/admin</x:v>
      </x:c>
      <x:c r="E44" s="14" t="str"/>
      <x:c r="F44" s="14" t="str">
        <x:v>Dashboard có số liệu thật</x:v>
      </x:c>
      <x:c r="G44" s="14" t="str"/>
      <x:c r="H44" s="14" t="str">
        <x:v>Chưa làm</x:v>
      </x:c>
      <x:c r="I44" s="14" t="str">
        <x:v>Chưa</x:v>
      </x:c>
      <x:c r="J44" s="14" t="str">
        <x:v>Chưa</x:v>
      </x:c>
      <x:c r="K44" s="14" t="str">
        <x:v>Chưa</x:v>
      </x:c>
      <x:c r="L44" s="14" t="str"/>
      <x:c r="M44" s="32" t="str"/>
      <x:c r="N44" s="32" t="str"/>
      <x:c r="O44" s="14" t="str"/>
    </x:row>
    <x:row r="45">
      <x:c r="A45" s="14" t="n">
        <x:v>44</x:v>
      </x:c>
      <x:c r="B45" s="14" t="str">
        <x:v>Admin web routes cần hoàn thiện</x:v>
      </x:c>
      <x:c r="C45" s="14" t="str">
        <x:v>POST</x:v>
      </x:c>
      <x:c r="D45" s="14" t="str">
        <x:v>/admin/events/approve</x:v>
      </x:c>
      <x:c r="E45" s="14" t="str"/>
      <x:c r="F45" s="14" t="str">
        <x:v>Chuyển event sang `PUBLISHED`</x:v>
      </x:c>
      <x:c r="G45" s="14" t="str"/>
      <x:c r="H45" s="14" t="str">
        <x:v>Chưa làm</x:v>
      </x:c>
      <x:c r="I45" s="14" t="str">
        <x:v>Chưa</x:v>
      </x:c>
      <x:c r="J45" s="14" t="str">
        <x:v>Chưa</x:v>
      </x:c>
      <x:c r="K45" s="14" t="str">
        <x:v>Chưa</x:v>
      </x:c>
      <x:c r="L45" s="14" t="str"/>
      <x:c r="M45" s="32" t="str"/>
      <x:c r="N45" s="32" t="str"/>
      <x:c r="O45" s="14" t="str"/>
    </x:row>
    <x:row r="46">
      <x:c r="A46" s="14" t="n">
        <x:v>45</x:v>
      </x:c>
      <x:c r="B46" s="14" t="str">
        <x:v>Admin web routes cần hoàn thiện</x:v>
      </x:c>
      <x:c r="C46" s="14" t="str">
        <x:v>POST</x:v>
      </x:c>
      <x:c r="D46" s="14" t="str">
        <x:v>/admin/events/reject</x:v>
      </x:c>
      <x:c r="E46" s="14" t="str"/>
      <x:c r="F46" s="14" t="str">
        <x:v>Chuyển event sang `CANCELLED` hoặc thêm lý do từ chối</x:v>
      </x:c>
      <x:c r="G46" s="14" t="str"/>
      <x:c r="H46" s="14" t="str">
        <x:v>Chưa làm</x:v>
      </x:c>
      <x:c r="I46" s="14" t="str">
        <x:v>Chưa</x:v>
      </x:c>
      <x:c r="J46" s="14" t="str">
        <x:v>Chưa</x:v>
      </x:c>
      <x:c r="K46" s="14" t="str">
        <x:v>Chưa</x:v>
      </x:c>
      <x:c r="L46" s="14" t="str"/>
      <x:c r="M46" s="32" t="str"/>
      <x:c r="N46" s="32" t="str"/>
      <x:c r="O46" s="14" t="str"/>
    </x:row>
    <x:row r="47">
      <x:c r="A47" s="14" t="n">
        <x:v>46</x:v>
      </x:c>
      <x:c r="B47" s="14" t="str">
        <x:v>Admin web routes cần hoàn thiện</x:v>
      </x:c>
      <x:c r="C47" s="14" t="str">
        <x:v>GET</x:v>
      </x:c>
      <x:c r="D47" s="14" t="str">
        <x:v>/admin/payments</x:v>
      </x:c>
      <x:c r="E47" s="14" t="str"/>
      <x:c r="F47" s="14" t="str">
        <x:v>Đối soát giao dịch</x:v>
      </x:c>
      <x:c r="G47" s="14" t="str"/>
      <x:c r="H47" s="14" t="str">
        <x:v>Chưa làm</x:v>
      </x:c>
      <x:c r="I47" s="14" t="str">
        <x:v>Chưa</x:v>
      </x:c>
      <x:c r="J47" s="14" t="str">
        <x:v>Chưa</x:v>
      </x:c>
      <x:c r="K47" s="14" t="str">
        <x:v>Chưa</x:v>
      </x:c>
      <x:c r="L47" s="14" t="str"/>
      <x:c r="M47" s="32" t="str"/>
      <x:c r="N47" s="32" t="str"/>
      <x:c r="O47" s="14" t="str"/>
    </x:row>
    <x:row r="48">
      <x:c r="A48" s="14" t="n">
        <x:v>47</x:v>
      </x:c>
      <x:c r="B48" s="14" t="str">
        <x:v>Admin web routes cần hoàn thiện</x:v>
      </x:c>
      <x:c r="C48" s="14" t="str">
        <x:v>GET</x:v>
      </x:c>
      <x:c r="D48" s="14" t="str">
        <x:v>/admin/bookings</x:v>
      </x:c>
      <x:c r="E48" s="14" t="str"/>
      <x:c r="F48" s="14" t="str">
        <x:v>Tra cứu đơn vé</x:v>
      </x:c>
      <x:c r="G48" s="14" t="str"/>
      <x:c r="H48" s="14" t="str">
        <x:v>Chưa làm</x:v>
      </x:c>
      <x:c r="I48" s="14" t="str">
        <x:v>Chưa</x:v>
      </x:c>
      <x:c r="J48" s="14" t="str">
        <x:v>Chưa</x:v>
      </x:c>
      <x:c r="K48" s="14" t="str">
        <x:v>Chưa</x:v>
      </x:c>
      <x:c r="L48" s="14" t="str"/>
      <x:c r="M48" s="32" t="str"/>
      <x:c r="N48" s="32" t="str"/>
      <x:c r="O48" s="14" t="str"/>
    </x:row>
    <x:row r="49">
      <x:c r="A49" s="14" t="n">
        <x:v>48</x:v>
      </x:c>
      <x:c r="B49" s="14" t="str">
        <x:v>Admin web routes cần hoàn thiện</x:v>
      </x:c>
      <x:c r="C49" s="14" t="str">
        <x:v>GET</x:v>
      </x:c>
      <x:c r="D49" s="14" t="str">
        <x:v>/admin/reports</x:v>
      </x:c>
      <x:c r="E49" s="14" t="str"/>
      <x:c r="F49" s="14" t="str">
        <x:v>Báo cáo hệ thống</x:v>
      </x:c>
      <x:c r="G49" s="14" t="str"/>
      <x:c r="H49" s="14" t="str">
        <x:v>Chưa làm</x:v>
      </x:c>
      <x:c r="I49" s="14" t="str">
        <x:v>Chưa</x:v>
      </x:c>
      <x:c r="J49" s="14" t="str">
        <x:v>Chưa</x:v>
      </x:c>
      <x:c r="K49" s="14" t="str">
        <x:v>Chưa</x:v>
      </x:c>
      <x:c r="L49" s="14" t="str"/>
      <x:c r="M49" s="32" t="str"/>
      <x:c r="N49" s="32" t="str"/>
      <x:c r="O49" s="14" t="str"/>
    </x:row>
    <x:row r="50">
      <x:c r="A50" s="14" t="n">
        <x:v>49</x:v>
      </x:c>
      <x:c r="B50" s="14" t="str">
        <x:v>Admin web routes cần hoàn thiện</x:v>
      </x:c>
      <x:c r="C50" s="14" t="str">
        <x:v>GET/POST</x:v>
      </x:c>
      <x:c r="D50" s="14" t="str">
        <x:v>/admin/settlements</x:v>
      </x:c>
      <x:c r="E50" s="14" t="str"/>
      <x:c r="F50" s="14" t="str">
        <x:v>Đối soát/chuyển tiền cho organizer</x:v>
      </x:c>
      <x:c r="G50" s="14" t="str"/>
      <x:c r="H50" s="14" t="str">
        <x:v>Chưa làm</x:v>
      </x:c>
      <x:c r="I50" s="14" t="str">
        <x:v>Chưa</x:v>
      </x:c>
      <x:c r="J50" s="14" t="str">
        <x:v>Chưa</x:v>
      </x:c>
      <x:c r="K50" s="14" t="str">
        <x:v>Chưa</x:v>
      </x:c>
      <x:c r="L50" s="14" t="str"/>
      <x:c r="M50" s="32" t="str"/>
      <x:c r="N50" s="32" t="str"/>
      <x:c r="O50" s="14" t="str"/>
    </x:row>
  </x:sheetData>
  <x:conditionalFormatting sqref="H2:H50">
    <x:cfRule type="expression" dxfId="0" priority="1">
      <x:formula>$H2="Hoàn thành"</x:formula>
    </x:cfRule>
    <x:cfRule type="expression" dxfId="1" priority="2">
      <x:formula>$H2="Đang làm"</x:formula>
    </x:cfRule>
    <x:cfRule type="expression" dxfId="2" priority="3">
      <x:formula>$H2="Tạm hoãn"</x:formula>
    </x:cfRule>
  </x:conditionalFormatting>
  <x:conditionalFormatting sqref="I2:K50">
    <x:cfRule type="expression" dxfId="3" priority="4">
      <x:formula>I2="Rồi"</x:formula>
    </x:cfRule>
    <x:cfRule type="expression" dxfId="4" priority="5">
      <x:formula>I2="Chưa"</x:formula>
    </x:cfRule>
  </x:conditionalFormatting>
  <x:dataValidations count="2">
    <x:dataValidation type="list" sqref="H2:H50">
      <x:formula1>Options!$A$2:$A$8</x:formula1>
    </x:dataValidation>
    <x:dataValidation type="list" sqref="I2:K50">
      <x:formula1>Options!$A$11:$A$13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c17085286346e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</x:cols>
  <x:sheetData>
    <x:row r="1" ht="28" customHeight="1">
      <x:c r="A1" s="18" t="str">
        <x:v>API Checklist - Hệ thống bán vé sự kiện MVC</x:v>
      </x:c>
      <x:c r="B1"/>
    </x:row>
    <x:row r="2">
      <x:c r="A2" s="23" t="str">
        <x:v>Nguồn</x:v>
      </x:c>
      <x:c r="B2" t="str">
        <x:v>PROJECT_IMPLEMENTATION_PLAN.md</x:v>
      </x:c>
    </x:row>
    <x:row r="3">
      <x:c r="A3" s="23" t="str">
        <x:v>Tổng số API/route</x:v>
      </x:c>
      <x:c r="B3" t="n">
        <x:f>COUNTA('API Checklist'!$A$2:$A$50)</x:f>
        <x:v>49</x:v>
      </x:c>
    </x:row>
    <x:row r="4">
      <x:c r="A4" s="23" t="str">
        <x:v>Hoàn thành</x:v>
      </x:c>
      <x:c r="B4" t="n">
        <x:f>COUNTIF('API Checklist'!$H$2:$H$50,"Hoàn thành")</x:f>
        <x:v>0</x:v>
      </x:c>
    </x:row>
    <x:row r="5">
      <x:c r="A5" s="23" t="str">
        <x:v>Đang làm</x:v>
      </x:c>
      <x:c r="B5" t="n">
        <x:f>COUNTIF('API Checklist'!$H$2:$H$50,"Đang làm")</x:f>
        <x:v>0</x:v>
      </x:c>
    </x:row>
    <x:row r="6">
      <x:c r="A6" s="23" t="str">
        <x:v>Chưa làm</x:v>
      </x:c>
      <x:c r="B6" t="n">
        <x:f>COUNTIF('API Checklist'!$H$2:$H$50,"Chưa làm")</x:f>
        <x:v>49</x:v>
      </x:c>
    </x:row>
    <x:row r="7">
      <x:c r="A7" s="23" t="str">
        <x:v>Tạm hoãn</x:v>
      </x:c>
      <x:c r="B7" t="n">
        <x:f>COUNTIF('API Checklist'!$H$2:$H$50,"Tạm hoãn")</x:f>
        <x:v>0</x:v>
      </x:c>
    </x:row>
    <x:row r="8">
      <x:c r="A8" s="23" t="str">
        <x:v>Tiến độ</x:v>
      </x:c>
      <x:c r="B8" s="26" t="n">
        <x:f>IF(B3=0,0,B4/B3)</x:f>
        <x:v>0</x:v>
      </x:c>
    </x:row>
    <x:row r="11">
      <x:c r="A11" s="5" t="str">
        <x:v>Nhóm API</x:v>
      </x:c>
      <x:c r="B11" s="5" t="str">
        <x:v>Tổng</x:v>
      </x:c>
      <x:c r="C11" s="5" t="str">
        <x:v>Hoàn thành</x:v>
      </x:c>
      <x:c r="D11" s="5" t="str">
        <x:v>Đang làm</x:v>
      </x:c>
      <x:c r="E11" s="5" t="str">
        <x:v>Chưa làm</x:v>
      </x:c>
    </x:row>
    <x:row r="12">
      <x:c r="A12" s="11" t="str">
        <x:v>Auth và user API</x:v>
      </x:c>
      <x:c r="B12" s="11" t="n">
        <x:f>COUNTIF('API Checklist'!$B$2:$B$50,A12)</x:f>
        <x:v>6</x:v>
      </x:c>
      <x:c r="C12" s="11" t="n">
        <x:f>COUNTIFS('API Checklist'!$B$2:$B$50,A12,'API Checklist'!$H$2:$H$50,"Hoàn thành")</x:f>
        <x:v>0</x:v>
      </x:c>
      <x:c r="D12" s="11" t="n">
        <x:f>COUNTIFS('API Checklist'!$B$2:$B$50,A12,'API Checklist'!$H$2:$H$50,"Đang làm")</x:f>
        <x:v>0</x:v>
      </x:c>
      <x:c r="E12" s="11" t="n">
        <x:f>COUNTIFS('API Checklist'!$B$2:$B$50,A12,'API Checklist'!$H$2:$H$50,"Chưa làm")</x:f>
        <x:v>6</x:v>
      </x:c>
    </x:row>
    <x:row r="13">
      <x:c r="A13" s="11" t="str">
        <x:v>Public event API</x:v>
      </x:c>
      <x:c r="B13" s="11" t="n">
        <x:f>COUNTIF('API Checklist'!$B$2:$B$50,A13)</x:f>
        <x:v>4</x:v>
      </x:c>
      <x:c r="C13" s="11" t="n">
        <x:f>COUNTIFS('API Checklist'!$B$2:$B$50,A13,'API Checklist'!$H$2:$H$50,"Hoàn thành")</x:f>
        <x:v>0</x:v>
      </x:c>
      <x:c r="D13" s="11" t="n">
        <x:f>COUNTIFS('API Checklist'!$B$2:$B$50,A13,'API Checklist'!$H$2:$H$50,"Đang làm")</x:f>
        <x:v>0</x:v>
      </x:c>
      <x:c r="E13" s="11" t="n">
        <x:f>COUNTIFS('API Checklist'!$B$2:$B$50,A13,'API Checklist'!$H$2:$H$50,"Chưa làm")</x:f>
        <x:v>4</x:v>
      </x:c>
    </x:row>
    <x:row r="14">
      <x:c r="A14" s="11" t="str">
        <x:v>Organizer event API</x:v>
      </x:c>
      <x:c r="B14" s="11" t="n">
        <x:f>COUNTIF('API Checklist'!$B$2:$B$50,A14)</x:f>
        <x:v>8</x:v>
      </x:c>
      <x:c r="C14" s="11" t="n">
        <x:f>COUNTIFS('API Checklist'!$B$2:$B$50,A14,'API Checklist'!$H$2:$H$50,"Hoàn thành")</x:f>
        <x:v>0</x:v>
      </x:c>
      <x:c r="D14" s="11" t="n">
        <x:f>COUNTIFS('API Checklist'!$B$2:$B$50,A14,'API Checklist'!$H$2:$H$50,"Đang làm")</x:f>
        <x:v>0</x:v>
      </x:c>
      <x:c r="E14" s="11" t="n">
        <x:f>COUNTIFS('API Checklist'!$B$2:$B$50,A14,'API Checklist'!$H$2:$H$50,"Chưa làm")</x:f>
        <x:v>8</x:v>
      </x:c>
    </x:row>
    <x:row r="15">
      <x:c r="A15" s="11" t="str">
        <x:v>Booking API</x:v>
      </x:c>
      <x:c r="B15" s="11" t="n">
        <x:f>COUNTIF('API Checklist'!$B$2:$B$50,A15)</x:f>
        <x:v>4</x:v>
      </x:c>
      <x:c r="C15" s="11" t="n">
        <x:f>COUNTIFS('API Checklist'!$B$2:$B$50,A15,'API Checklist'!$H$2:$H$50,"Hoàn thành")</x:f>
        <x:v>0</x:v>
      </x:c>
      <x:c r="D15" s="11" t="n">
        <x:f>COUNTIFS('API Checklist'!$B$2:$B$50,A15,'API Checklist'!$H$2:$H$50,"Đang làm")</x:f>
        <x:v>0</x:v>
      </x:c>
      <x:c r="E15" s="11" t="n">
        <x:f>COUNTIFS('API Checklist'!$B$2:$B$50,A15,'API Checklist'!$H$2:$H$50,"Chưa làm")</x:f>
        <x:v>4</x:v>
      </x:c>
    </x:row>
    <x:row r="16">
      <x:c r="A16" s="11" t="str">
        <x:v>Payment API</x:v>
      </x:c>
      <x:c r="B16" s="11" t="n">
        <x:f>COUNTIF('API Checklist'!$B$2:$B$50,A16)</x:f>
        <x:v>9</x:v>
      </x:c>
      <x:c r="C16" s="11" t="n">
        <x:f>COUNTIFS('API Checklist'!$B$2:$B$50,A16,'API Checklist'!$H$2:$H$50,"Hoàn thành")</x:f>
        <x:v>0</x:v>
      </x:c>
      <x:c r="D16" s="11" t="n">
        <x:f>COUNTIFS('API Checklist'!$B$2:$B$50,A16,'API Checklist'!$H$2:$H$50,"Đang làm")</x:f>
        <x:v>0</x:v>
      </x:c>
      <x:c r="E16" s="11" t="n">
        <x:f>COUNTIFS('API Checklist'!$B$2:$B$50,A16,'API Checklist'!$H$2:$H$50,"Chưa làm")</x:f>
        <x:v>9</x:v>
      </x:c>
    </x:row>
    <x:row r="17">
      <x:c r="A17" s="11" t="str">
        <x:v>Ticket API</x:v>
      </x:c>
      <x:c r="B17" s="11" t="n">
        <x:f>COUNTIF('API Checklist'!$B$2:$B$50,A17)</x:f>
        <x:v>4</x:v>
      </x:c>
      <x:c r="C17" s="11" t="n">
        <x:f>COUNTIFS('API Checklist'!$B$2:$B$50,A17,'API Checklist'!$H$2:$H$50,"Hoàn thành")</x:f>
        <x:v>0</x:v>
      </x:c>
      <x:c r="D17" s="11" t="n">
        <x:f>COUNTIFS('API Checklist'!$B$2:$B$50,A17,'API Checklist'!$H$2:$H$50,"Đang làm")</x:f>
        <x:v>0</x:v>
      </x:c>
      <x:c r="E17" s="11" t="n">
        <x:f>COUNTIFS('API Checklist'!$B$2:$B$50,A17,'API Checklist'!$H$2:$H$50,"Chưa làm")</x:f>
        <x:v>4</x:v>
      </x:c>
    </x:row>
    <x:row r="18">
      <x:c r="A18" s="11" t="str">
        <x:v>Statistic API</x:v>
      </x:c>
      <x:c r="B18" s="11" t="n">
        <x:f>COUNTIF('API Checklist'!$B$2:$B$50,A18)</x:f>
        <x:v>7</x:v>
      </x:c>
      <x:c r="C18" s="11" t="n">
        <x:f>COUNTIFS('API Checklist'!$B$2:$B$50,A18,'API Checklist'!$H$2:$H$50,"Hoàn thành")</x:f>
        <x:v>0</x:v>
      </x:c>
      <x:c r="D18" s="11" t="n">
        <x:f>COUNTIFS('API Checklist'!$B$2:$B$50,A18,'API Checklist'!$H$2:$H$50,"Đang làm")</x:f>
        <x:v>0</x:v>
      </x:c>
      <x:c r="E18" s="11" t="n">
        <x:f>COUNTIFS('API Checklist'!$B$2:$B$50,A18,'API Checklist'!$H$2:$H$50,"Chưa làm")</x:f>
        <x:v>7</x:v>
      </x:c>
    </x:row>
    <x:row r="19">
      <x:c r="A19" s="11" t="str">
        <x:v>Admin web routes cần hoàn thiện</x:v>
      </x:c>
      <x:c r="B19" s="11" t="n">
        <x:f>COUNTIF('API Checklist'!$B$2:$B$50,A19)</x:f>
        <x:v>7</x:v>
      </x:c>
      <x:c r="C19" s="11" t="n">
        <x:f>COUNTIFS('API Checklist'!$B$2:$B$50,A19,'API Checklist'!$H$2:$H$50,"Hoàn thành")</x:f>
        <x:v>0</x:v>
      </x:c>
      <x:c r="D19" s="11" t="n">
        <x:f>COUNTIFS('API Checklist'!$B$2:$B$50,A19,'API Checklist'!$H$2:$H$50,"Đang làm")</x:f>
        <x:v>0</x:v>
      </x:c>
      <x:c r="E19" s="11" t="n">
        <x:f>COUNTIFS('API Checklist'!$B$2:$B$50,A19,'API Checklist'!$H$2:$H$50,"Chưa làm")</x:f>
        <x:v>7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049efa63b6f425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</x:cols>
  <x:sheetData>
    <x:row r="1">
      <x:c r="A1" s="5" t="str">
        <x:v>Trạng thái</x:v>
      </x:c>
    </x:row>
    <x:row r="2">
      <x:c r="A2" t="str">
        <x:v>Chưa làm</x:v>
      </x:c>
    </x:row>
    <x:row r="3">
      <x:c r="A3" t="str">
        <x:v>Đang làm</x:v>
      </x:c>
    </x:row>
    <x:row r="4">
      <x:c r="A4" t="str">
        <x:v>Code xong</x:v>
      </x:c>
    </x:row>
    <x:row r="5">
      <x:c r="A5" t="str">
        <x:v>Đã test Postman</x:v>
      </x:c>
    </x:row>
    <x:row r="6">
      <x:c r="A6" t="str">
        <x:v>Đã test Frontend</x:v>
      </x:c>
    </x:row>
    <x:row r="7">
      <x:c r="A7" t="str">
        <x:v>Hoàn thành</x:v>
      </x:c>
    </x:row>
    <x:row r="8">
      <x:c r="A8" t="str">
        <x:v>Tạm hoãn</x:v>
      </x:c>
    </x:row>
    <x:row r="9">
      <x:c r="A9"/>
    </x:row>
    <x:row r="10">
      <x:c r="A10" s="5" t="str">
        <x:v>Checklist</x:v>
      </x:c>
    </x:row>
    <x:row r="11">
      <x:c r="A11" t="str">
        <x:v>Chưa</x:v>
      </x:c>
    </x:row>
    <x:row r="12">
      <x:c r="A12" t="str">
        <x:v>Rồi</x:v>
      </x:c>
    </x:row>
    <x:row r="13">
      <x:c r="A13" t="str">
        <x:v>Không cần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30" t="str">
        <x:v>Cách dùng file</x:v>
      </x:c>
    </x:row>
    <x:row r="2">
      <x:c r="A2" s="11" t="str">
        <x:v>1. Mở sheet API Checklist.</x:v>
      </x:c>
    </x:row>
    <x:row r="3">
      <x:c r="A3" s="11" t="str">
        <x:v>2. Khi làm API nào, cập nhật cột Trạng thái, Code xong, Test Postman, Test Frontend.</x:v>
      </x:c>
    </x:row>
    <x:row r="4">
      <x:c r="A4" s="11" t="str">
        <x:v>3. Có thể ghi người làm, ngày bắt đầu, ngày xong và ghi chú lỗi ở các cột cuối.</x:v>
      </x:c>
    </x:row>
    <x:row r="5">
      <x:c r="A5" s="11" t="str">
        <x:v>4. Sheet Dashboard tự tổng hợp tiến độ theo trạng thái và nhóm API.</x:v>
      </x:c>
    </x:row>
    <x:row r="6">
      <x:c r="A6" s="11" t="str">
        <x:v>5. Các API/route được trích từ PROJECT_IMPLEMENTATION_PLAN.md.</x:v>
      </x:c>
    </x:row>
  </x:sheetData>
  <x:pageMargins left="0.7" right="0.7" top="0.75" bottom="0.75" header="0.3" footer="0.3"/>
</x:worksheet>
</file>